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Dashboard" sheetId="2" r:id="rId1"/>
    <sheet name="HOLD_MASTER_CLK_SUM" sheetId="5" r:id="rId2"/>
    <sheet name="HOLD_MASTER_CLK" sheetId="3" r:id="rId3"/>
    <sheet name="FMAX" sheetId="4" r:id="rId4"/>
    <sheet name="DRV" sheetId="6" r:id="rId5"/>
    <sheet name="NON_CLK_CELLS" sheetId="7" r:id="rId6"/>
    <sheet name="TCQ" sheetId="8" r:id="rId7"/>
    <sheet name="MIN_PULSE_WIDTH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<sst xmlns="http://schemas.openxmlformats.org/spreadsheetml/2006/main" count="162" uniqueCount="61">
  <si>
    <t>HOLD corner</t>
  </si>
  <si>
    <t>clk_grp_CDM</t>
  </si>
  <si>
    <t>clk_grp_CLKA</t>
  </si>
  <si>
    <t>WNS</t>
  </si>
  <si>
    <t>TNS</t>
  </si>
  <si>
    <t>FEP</t>
  </si>
  <si>
    <t>func.min.ffgnp.0.825v_-40c.cbest_ccbest</t>
  </si>
  <si>
    <t>func.min.ffgnp.0.125v_-40c.cbest_ccbest</t>
  </si>
  <si>
    <t>func.min.ffgnp.0.815v_-40c.cbest_ccbest</t>
  </si>
  <si>
    <t>func.min.ffgnp.0.625v_-40c.cbest_ccbest</t>
  </si>
  <si>
    <t>Corner</t>
  </si>
  <si>
    <t xml:space="preserve">RM values </t>
  </si>
  <si>
    <t>PARA ERRORS</t>
  </si>
  <si>
    <t>NOT ANNOTATED</t>
  </si>
  <si>
    <t>MPW VIOLATION</t>
  </si>
  <si>
    <t>Clk group</t>
  </si>
  <si>
    <t>Unique FEP</t>
  </si>
  <si>
    <t>clk_grp_bist_i36</t>
  </si>
  <si>
    <t>clk_grp_bist_i50</t>
  </si>
  <si>
    <t>clkgrpslow</t>
  </si>
  <si>
    <t>removal</t>
  </si>
  <si>
    <t>NOT CLEAN</t>
  </si>
  <si>
    <t>CLEAN</t>
  </si>
  <si>
    <t>func.min.ffgnp.0.25v_-40c.cbest_ccbest</t>
  </si>
  <si>
    <t xml:space="preserve"> VIOLATION</t>
  </si>
  <si>
    <t>Corners</t>
  </si>
  <si>
    <t>drd0_fmax_i36</t>
  </si>
  <si>
    <t>drd0_fmax_i50</t>
  </si>
  <si>
    <t>TCC</t>
  </si>
  <si>
    <t>Mem</t>
  </si>
  <si>
    <t>SMS</t>
  </si>
  <si>
    <t>Fmax</t>
  </si>
  <si>
    <t>Lmit</t>
  </si>
  <si>
    <t>TCC MARGIN</t>
  </si>
  <si>
    <t>Hold Margin</t>
  </si>
  <si>
    <t>For TCC limited instances, svdjosvbolab.</t>
  </si>
  <si>
    <t>For sms or mem lim dsncsdnsdvnlsnfv;apnb;ansfnbjvafsb.</t>
  </si>
  <si>
    <t>corners</t>
  </si>
  <si>
    <t>Max-capacitance(PF)</t>
  </si>
  <si>
    <t>Max-Transition (ns)</t>
  </si>
  <si>
    <t>BNS</t>
  </si>
  <si>
    <t>TYPE</t>
  </si>
  <si>
    <t>REFERENCE</t>
  </si>
  <si>
    <t>NON_CLK_CELL</t>
  </si>
  <si>
    <t>i36</t>
  </si>
  <si>
    <t>i50</t>
  </si>
  <si>
    <t>Mem_tcq</t>
  </si>
  <si>
    <t>xor_bpin_delay</t>
  </si>
  <si>
    <t>xor_apin_delay</t>
  </si>
  <si>
    <t>Offset</t>
  </si>
  <si>
    <t>Status</t>
  </si>
  <si>
    <t>nonclk_vtmismatch</t>
  </si>
  <si>
    <t>nonclk</t>
  </si>
  <si>
    <t>N/A</t>
  </si>
  <si>
    <t>func.min.ffgnp.0.225v_-40c.cbest_ccbest</t>
  </si>
  <si>
    <t>Limit</t>
  </si>
  <si>
    <t>TCC MARGIN%</t>
  </si>
  <si>
    <t>NA</t>
  </si>
  <si>
    <t>HOLDMargin (ns)</t>
  </si>
  <si>
    <t>-</t>
  </si>
  <si>
    <t>Not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</si>
</sst>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12" sqref="F12"/>
    </sheetView>
  </sheetViews>
  <sheetFormatPr defaultRowHeight="14.4" x14ac:dyDescent="0.3"/>
  <cols>
    <col min="1" max="1" width="35.21875" bestFit="1" customWidth="1"/>
    <col min="2" max="2" width="9.33203125" bestFit="1" customWidth="1"/>
    <col min="3" max="3" width="12.33203125" bestFit="1" customWidth="1"/>
    <col min="4" max="4" width="15.6640625" bestFit="1" customWidth="1"/>
    <col min="5" max="5" width="15.21875" bestFit="1" customWidth="1"/>
  </cols>
  <sheetData>
    <row r="1" spans="1:6" ht="43.2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24</v>
      </c>
    </row>
    <row r="2" spans="1:6" x14ac:dyDescent="0.3">
      <c r="C2" t="s">
        <v>60</v>
      </c>
      <c r="E2" t="s">
        <v>22</v>
      </c>
    </row>
    <row r="3" spans="1:6" x14ac:dyDescent="0.3">
      <c r="A3" s="5" t="s">
        <v>6</v>
      </c>
      <c r="B3" s="1">
        <v>4</v>
      </c>
      <c r="C3" s="1">
        <v>0</v>
      </c>
      <c r="D3" s="1">
        <v>0</v>
      </c>
      <c r="E3" s="1">
        <v>0</v>
      </c>
      <c r="F3" s="1">
        <v>0</v>
      </c>
    </row>
    <row r="4" spans="1:6" x14ac:dyDescent="0.3">
      <c r="A4" s="5" t="s">
        <v>7</v>
      </c>
      <c r="B4" s="1">
        <v>332</v>
      </c>
      <c r="C4" s="1">
        <v>0</v>
      </c>
      <c r="D4" s="1">
        <v>0</v>
      </c>
      <c r="E4" s="1">
        <v>0</v>
      </c>
      <c r="F4" s="1">
        <v>676</v>
      </c>
    </row>
    <row r="5" spans="1:6" x14ac:dyDescent="0.3">
      <c r="A5" s="5" t="s">
        <v>8</v>
      </c>
      <c r="B5" s="1">
        <v>3</v>
      </c>
      <c r="C5" s="1">
        <v>0</v>
      </c>
      <c r="D5" s="1">
        <v>0</v>
      </c>
      <c r="E5" s="1">
        <v>0</v>
      </c>
      <c r="F5" s="1">
        <v>0</v>
      </c>
    </row>
    <row r="6" spans="1:6" x14ac:dyDescent="0.3">
      <c r="A6" s="5" t="s">
        <v>9</v>
      </c>
      <c r="B6" s="1">
        <v>3243</v>
      </c>
      <c r="C6" s="1">
        <v>5645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D29" sqref="D29"/>
    </sheetView>
  </sheetViews>
  <sheetFormatPr defaultRowHeight="14.4" x14ac:dyDescent="0.3"/>
  <cols>
    <col min="1" max="1" width="17.44140625" customWidth="1"/>
    <col min="2" max="2" width="21.5546875" customWidth="1"/>
    <col min="3" max="3" width="21.21875" customWidth="1"/>
    <col min="4" max="4" width="17.21875" customWidth="1"/>
    <col min="5" max="5" width="14.6640625" customWidth="1"/>
    <col min="6" max="6" width="21.5546875" customWidth="1"/>
  </cols>
  <sheetData>
    <row r="1" spans="1:7" x14ac:dyDescent="0.3">
      <c r="A1" s="3" t="s">
        <v>15</v>
      </c>
      <c r="B1" s="3" t="s">
        <v>50</v>
      </c>
      <c r="C1" s="3" t="s">
        <v>3</v>
      </c>
      <c r="D1" s="3" t="s">
        <v>4</v>
      </c>
      <c r="E1" s="3" t="s">
        <v>5</v>
      </c>
      <c r="F1" s="3" t="s">
        <v>16</v>
      </c>
      <c r="G1" s="2"/>
    </row>
    <row r="2" spans="1:7" x14ac:dyDescent="0.3">
      <c r="A2" s="1" t="s">
        <v>17</v>
      </c>
      <c r="B2" s="1" t="s">
        <v>21</v>
      </c>
      <c r="C2" s="1">
        <v>-0.43</v>
      </c>
      <c r="D2" s="1">
        <v>-0.67300000000000004</v>
      </c>
      <c r="E2" s="1">
        <v>235</v>
      </c>
      <c r="F2" s="1">
        <v>33</v>
      </c>
    </row>
    <row r="3" spans="1:7" x14ac:dyDescent="0.3">
      <c r="A3" s="1" t="s">
        <v>18</v>
      </c>
      <c r="B3" s="1" t="s">
        <v>21</v>
      </c>
      <c r="C3" s="1">
        <v>-0.27300000000000002</v>
      </c>
      <c r="D3" s="1">
        <v>-2.782</v>
      </c>
      <c r="E3" s="1">
        <v>436357</v>
      </c>
      <c r="F3" s="1">
        <v>56</v>
      </c>
    </row>
    <row r="4" spans="1:7" x14ac:dyDescent="0.3">
      <c r="A4" s="1" t="s">
        <v>1</v>
      </c>
      <c r="B4" s="1" t="s">
        <v>22</v>
      </c>
      <c r="C4" s="1">
        <f>HOLD_MASTER_CLK_SUM!D2-0.233</f>
        <v>-0.90600000000000003</v>
      </c>
      <c r="D4" s="1">
        <v>-37.299999999999997</v>
      </c>
      <c r="E4" s="1">
        <v>654</v>
      </c>
      <c r="F4" s="1">
        <v>34</v>
      </c>
    </row>
    <row r="5" spans="1:7" x14ac:dyDescent="0.3">
      <c r="A5" s="1" t="s">
        <v>2</v>
      </c>
      <c r="B5" s="1" t="s">
        <v>22</v>
      </c>
      <c r="C5" s="1">
        <v>0</v>
      </c>
      <c r="D5" s="1">
        <v>0</v>
      </c>
      <c r="E5" s="1">
        <v>0</v>
      </c>
      <c r="F5" s="1">
        <v>0</v>
      </c>
    </row>
    <row r="6" spans="1:7" x14ac:dyDescent="0.3">
      <c r="A6" s="1" t="s">
        <v>19</v>
      </c>
      <c r="B6" s="1" t="s">
        <v>22</v>
      </c>
      <c r="C6" s="1">
        <v>0</v>
      </c>
      <c r="D6" s="1">
        <v>0</v>
      </c>
      <c r="E6" s="1">
        <v>0</v>
      </c>
      <c r="F6" s="1">
        <v>0</v>
      </c>
    </row>
    <row r="7" spans="1:7" x14ac:dyDescent="0.3">
      <c r="A7" s="1" t="s">
        <v>20</v>
      </c>
      <c r="B7" s="1" t="s">
        <v>22</v>
      </c>
      <c r="C7" s="1">
        <v>0</v>
      </c>
      <c r="D7" s="1">
        <v>0</v>
      </c>
      <c r="E7" s="1">
        <v>0</v>
      </c>
      <c r="F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M16" sqref="M16"/>
    </sheetView>
  </sheetViews>
  <sheetFormatPr defaultRowHeight="14.4" x14ac:dyDescent="0.3"/>
  <cols>
    <col min="1" max="1" width="43.33203125" customWidth="1"/>
  </cols>
  <sheetData>
    <row r="1" spans="1:19" x14ac:dyDescent="0.3">
      <c r="A1" s="26" t="s">
        <v>0</v>
      </c>
      <c r="B1" s="25" t="s">
        <v>17</v>
      </c>
      <c r="C1" s="25"/>
      <c r="D1" s="25"/>
      <c r="E1" s="25" t="s">
        <v>18</v>
      </c>
      <c r="F1" s="25"/>
      <c r="G1" s="25"/>
      <c r="H1" s="25" t="s">
        <v>1</v>
      </c>
      <c r="I1" s="25"/>
      <c r="J1" s="25"/>
      <c r="K1" s="25" t="s">
        <v>2</v>
      </c>
      <c r="L1" s="25"/>
      <c r="M1" s="25"/>
      <c r="N1" s="25" t="s">
        <v>19</v>
      </c>
      <c r="O1" s="25"/>
      <c r="P1" s="25"/>
      <c r="Q1" s="25" t="s">
        <v>20</v>
      </c>
      <c r="R1" s="25"/>
      <c r="S1" s="25"/>
    </row>
    <row r="2" spans="1:19" x14ac:dyDescent="0.3">
      <c r="A2" s="26"/>
      <c r="B2" s="13" t="s">
        <v>3</v>
      </c>
      <c r="C2" s="13" t="s">
        <v>4</v>
      </c>
      <c r="D2" s="13" t="s">
        <v>5</v>
      </c>
      <c r="E2" s="13" t="s">
        <v>3</v>
      </c>
      <c r="F2" s="13" t="s">
        <v>4</v>
      </c>
      <c r="G2" s="13" t="s">
        <v>5</v>
      </c>
      <c r="H2" s="13" t="s">
        <v>3</v>
      </c>
      <c r="I2" s="13" t="s">
        <v>4</v>
      </c>
      <c r="J2" s="13" t="s">
        <v>5</v>
      </c>
      <c r="K2" s="13" t="s">
        <v>3</v>
      </c>
      <c r="L2" s="13" t="s">
        <v>4</v>
      </c>
      <c r="M2" s="13" t="s">
        <v>5</v>
      </c>
      <c r="N2" s="13" t="s">
        <v>3</v>
      </c>
      <c r="O2" s="13" t="s">
        <v>4</v>
      </c>
      <c r="P2" s="13" t="s">
        <v>5</v>
      </c>
      <c r="Q2" s="13" t="s">
        <v>3</v>
      </c>
      <c r="R2" s="13" t="s">
        <v>4</v>
      </c>
      <c r="S2" s="13" t="s">
        <v>5</v>
      </c>
    </row>
    <row r="3" spans="1:19" x14ac:dyDescent="0.3">
      <c r="A3" s="24" t="s">
        <v>6</v>
      </c>
      <c r="B3" s="6">
        <v>-0.77800000000000002</v>
      </c>
      <c r="C3" s="6">
        <v>-0.877</v>
      </c>
      <c r="D3" s="6">
        <v>120</v>
      </c>
      <c r="E3" s="6">
        <v>-0.20300000000000001</v>
      </c>
      <c r="F3" s="6">
        <v>-0.57699999999999996</v>
      </c>
      <c r="G3" s="6">
        <v>120</v>
      </c>
      <c r="H3" s="6">
        <v>-2.3E-2</v>
      </c>
      <c r="I3" s="6">
        <v>-0.877</v>
      </c>
      <c r="J3" s="6">
        <v>20</v>
      </c>
      <c r="K3" s="6">
        <v>-2.3E-2</v>
      </c>
      <c r="L3" s="6">
        <v>-0.877</v>
      </c>
      <c r="M3" s="6">
        <v>20</v>
      </c>
      <c r="N3" s="6">
        <v>-2.3E-2</v>
      </c>
      <c r="O3" s="6">
        <v>-0.877</v>
      </c>
      <c r="P3" s="6">
        <v>20</v>
      </c>
      <c r="Q3" s="6">
        <v>-2.3E-2</v>
      </c>
      <c r="R3" s="6">
        <v>-0.877</v>
      </c>
      <c r="S3" s="6">
        <v>20</v>
      </c>
    </row>
    <row r="4" spans="1:19" x14ac:dyDescent="0.3">
      <c r="A4" s="24" t="s">
        <v>7</v>
      </c>
      <c r="B4" s="6">
        <v>-0.876</v>
      </c>
      <c r="C4" s="6">
        <v>-0.77800000000000002</v>
      </c>
      <c r="D4" s="6">
        <v>180</v>
      </c>
      <c r="E4" s="6">
        <v>-0.84299999999999997</v>
      </c>
      <c r="F4" s="6">
        <v>-0.17699999999999999</v>
      </c>
      <c r="G4" s="6">
        <v>680</v>
      </c>
      <c r="H4" s="6">
        <v>-0.23</v>
      </c>
      <c r="I4" s="6">
        <v>-0.127</v>
      </c>
      <c r="J4" s="6">
        <v>80</v>
      </c>
      <c r="K4" s="6">
        <v>-0.23</v>
      </c>
      <c r="L4" s="6">
        <v>-0.127</v>
      </c>
      <c r="M4" s="6">
        <v>80</v>
      </c>
      <c r="N4" s="6">
        <v>-0.23</v>
      </c>
      <c r="O4" s="6">
        <v>-0.127</v>
      </c>
      <c r="P4" s="6">
        <v>80</v>
      </c>
      <c r="Q4" s="6">
        <v>-0.23</v>
      </c>
      <c r="R4" s="6">
        <v>-0.127</v>
      </c>
      <c r="S4" s="6">
        <v>80</v>
      </c>
    </row>
    <row r="5" spans="1:19" x14ac:dyDescent="0.3">
      <c r="A5" s="24" t="s">
        <v>8</v>
      </c>
      <c r="B5" s="6">
        <v>-0.23</v>
      </c>
      <c r="C5" s="6">
        <v>-0.876</v>
      </c>
      <c r="D5" s="6">
        <v>120</v>
      </c>
      <c r="E5" s="6">
        <v>-0.23</v>
      </c>
      <c r="F5" s="6">
        <v>-0.28699999999999998</v>
      </c>
      <c r="G5" s="6">
        <v>10</v>
      </c>
      <c r="H5" s="6">
        <v>-0.27300000000000002</v>
      </c>
      <c r="I5" s="6">
        <v>-0.82199999999999995</v>
      </c>
      <c r="J5" s="6">
        <v>120</v>
      </c>
      <c r="K5" s="6">
        <v>-0.27300000000000002</v>
      </c>
      <c r="L5" s="6">
        <v>-0.82199999999999995</v>
      </c>
      <c r="M5" s="6">
        <v>120</v>
      </c>
      <c r="N5" s="6">
        <v>-0.27300000000000002</v>
      </c>
      <c r="O5" s="6">
        <v>-0.82199999999999995</v>
      </c>
      <c r="P5" s="6">
        <v>120</v>
      </c>
      <c r="Q5" s="6">
        <v>-0.27300000000000002</v>
      </c>
      <c r="R5" s="6">
        <v>-0.82199999999999995</v>
      </c>
      <c r="S5" s="6">
        <v>120</v>
      </c>
    </row>
    <row r="6" spans="1:19" x14ac:dyDescent="0.3">
      <c r="A6" s="24" t="s">
        <v>9</v>
      </c>
      <c r="B6" s="6">
        <v>-0.27300000000000002</v>
      </c>
      <c r="C6" s="6">
        <v>-7.7700000000000005E-2</v>
      </c>
      <c r="D6" s="6">
        <v>820</v>
      </c>
      <c r="E6" s="6">
        <v>-2.3E-2</v>
      </c>
      <c r="F6" s="6">
        <v>-0.877</v>
      </c>
      <c r="G6" s="6">
        <v>870</v>
      </c>
      <c r="H6" s="6">
        <v>-0.23</v>
      </c>
      <c r="I6" s="6">
        <v>-0.64700000000000002</v>
      </c>
      <c r="J6" s="6">
        <v>80</v>
      </c>
      <c r="K6" s="6">
        <v>-0.23</v>
      </c>
      <c r="L6" s="6">
        <v>-0.64700000000000002</v>
      </c>
      <c r="M6" s="6">
        <v>80</v>
      </c>
      <c r="N6" s="6">
        <v>-0.23</v>
      </c>
      <c r="O6" s="6">
        <v>-0.64700000000000002</v>
      </c>
      <c r="P6" s="6">
        <v>80</v>
      </c>
      <c r="Q6" s="6">
        <v>-0.23</v>
      </c>
      <c r="R6" s="6">
        <v>-0.64700000000000002</v>
      </c>
      <c r="S6" s="6">
        <v>80</v>
      </c>
    </row>
    <row r="7" spans="1:19" x14ac:dyDescent="0.3">
      <c r="A7" s="24" t="s">
        <v>23</v>
      </c>
      <c r="B7" s="6">
        <v>-1.23</v>
      </c>
      <c r="C7" s="6">
        <v>-0.77800000000000002</v>
      </c>
      <c r="D7" s="6">
        <v>220</v>
      </c>
      <c r="E7" s="6">
        <v>-0.84299999999999997</v>
      </c>
      <c r="F7" s="6">
        <v>-0.28699999999999998</v>
      </c>
      <c r="G7" s="6">
        <v>780</v>
      </c>
      <c r="H7" s="6">
        <v>-0.27300000000000002</v>
      </c>
      <c r="I7" s="6">
        <v>-0.82199999999999995</v>
      </c>
      <c r="J7" s="6">
        <v>140</v>
      </c>
      <c r="K7" s="6">
        <v>-0.27300000000000002</v>
      </c>
      <c r="L7" s="6">
        <v>-0.82199999999999995</v>
      </c>
      <c r="M7" s="6">
        <v>140</v>
      </c>
      <c r="N7" s="6">
        <v>-0.27300000000000002</v>
      </c>
      <c r="O7" s="6">
        <v>-0.82199999999999995</v>
      </c>
      <c r="P7" s="6">
        <v>140</v>
      </c>
      <c r="Q7" s="6">
        <v>-0.27300000000000002</v>
      </c>
      <c r="R7" s="6">
        <v>-0.82199999999999995</v>
      </c>
      <c r="S7" s="6">
        <v>140</v>
      </c>
    </row>
    <row r="8" spans="1:19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7" spans="2:2" x14ac:dyDescent="0.3">
      <c r="B17" s="9"/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2" sqref="G12"/>
    </sheetView>
  </sheetViews>
  <sheetFormatPr defaultRowHeight="14.4" x14ac:dyDescent="0.3"/>
  <cols>
    <col min="1" max="1" width="48.109375" bestFit="1" customWidth="1"/>
    <col min="7" max="7" width="11.6640625" bestFit="1" customWidth="1"/>
    <col min="8" max="8" width="11.77734375" customWidth="1"/>
    <col min="14" max="14" width="11.6640625" bestFit="1" customWidth="1"/>
    <col min="15" max="15" width="10.88671875" bestFit="1" customWidth="1"/>
  </cols>
  <sheetData>
    <row r="1" spans="1:15" x14ac:dyDescent="0.3">
      <c r="A1" s="27" t="s">
        <v>25</v>
      </c>
      <c r="B1" s="28" t="s">
        <v>26</v>
      </c>
      <c r="C1" s="28"/>
      <c r="D1" s="28"/>
      <c r="E1" s="28"/>
      <c r="F1" s="28"/>
      <c r="G1" s="28"/>
      <c r="H1" s="28"/>
      <c r="I1" s="28" t="s">
        <v>27</v>
      </c>
      <c r="J1" s="28"/>
      <c r="K1" s="28"/>
      <c r="L1" s="28"/>
      <c r="M1" s="28"/>
      <c r="N1" s="28"/>
      <c r="O1" s="28"/>
    </row>
    <row r="2" spans="1:15" x14ac:dyDescent="0.3">
      <c r="A2" s="27"/>
      <c r="B2" s="3" t="s">
        <v>28</v>
      </c>
      <c r="C2" s="3" t="s">
        <v>29</v>
      </c>
      <c r="D2" s="3" t="s">
        <v>30</v>
      </c>
      <c r="E2" s="3" t="s">
        <v>31</v>
      </c>
      <c r="F2" s="3" t="s">
        <v>55</v>
      </c>
      <c r="G2" s="3" t="s">
        <v>56</v>
      </c>
      <c r="H2" s="3" t="s">
        <v>58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</row>
    <row r="3" spans="1:15" x14ac:dyDescent="0.3">
      <c r="A3" s="14" t="s">
        <v>6</v>
      </c>
      <c r="B3" s="1">
        <v>0.25600000000000001</v>
      </c>
      <c r="C3" s="1">
        <v>0.56799999999999995</v>
      </c>
      <c r="D3" s="1">
        <v>0.78900000000000003</v>
      </c>
      <c r="E3" s="1">
        <v>0.25600000000000001</v>
      </c>
      <c r="F3" s="1" t="s">
        <v>28</v>
      </c>
      <c r="G3" s="21">
        <v>0</v>
      </c>
      <c r="H3" s="1" t="s">
        <v>57</v>
      </c>
      <c r="I3" s="1">
        <v>0.56799999999999995</v>
      </c>
      <c r="J3" s="1">
        <v>0.78900000000000003</v>
      </c>
      <c r="K3" s="1">
        <v>0.25600000000000001</v>
      </c>
      <c r="L3" s="1">
        <v>0.254</v>
      </c>
      <c r="M3" s="1" t="s">
        <v>28</v>
      </c>
      <c r="N3" s="21">
        <v>0</v>
      </c>
      <c r="O3" s="1" t="s">
        <v>53</v>
      </c>
    </row>
    <row r="4" spans="1:15" x14ac:dyDescent="0.3">
      <c r="A4" s="14" t="s">
        <v>7</v>
      </c>
      <c r="B4" s="1">
        <v>0.255</v>
      </c>
      <c r="C4" s="1">
        <v>0.254</v>
      </c>
      <c r="D4" s="1">
        <v>0.56799999999999995</v>
      </c>
      <c r="E4" s="1">
        <v>0.254</v>
      </c>
      <c r="F4" s="1" t="s">
        <v>28</v>
      </c>
      <c r="G4" s="21">
        <v>0</v>
      </c>
      <c r="H4" s="1" t="s">
        <v>57</v>
      </c>
      <c r="I4" s="1">
        <v>0.254</v>
      </c>
      <c r="J4" s="1">
        <v>0.56799999999999995</v>
      </c>
      <c r="K4" s="1">
        <v>0.255</v>
      </c>
      <c r="L4" s="1">
        <v>0.245</v>
      </c>
      <c r="M4" s="1" t="s">
        <v>28</v>
      </c>
      <c r="N4" s="21">
        <v>0</v>
      </c>
      <c r="O4" s="1" t="s">
        <v>53</v>
      </c>
    </row>
    <row r="5" spans="1:15" x14ac:dyDescent="0.3">
      <c r="A5" s="14" t="s">
        <v>8</v>
      </c>
      <c r="B5" s="1">
        <v>0.26400000000000001</v>
      </c>
      <c r="C5" s="1">
        <v>0.245</v>
      </c>
      <c r="D5" s="1">
        <v>0.45900000000000002</v>
      </c>
      <c r="E5" s="1">
        <v>0.26400000000000001</v>
      </c>
      <c r="F5" s="1" t="s">
        <v>28</v>
      </c>
      <c r="G5" s="21">
        <v>0</v>
      </c>
      <c r="H5" s="1" t="s">
        <v>57</v>
      </c>
      <c r="I5" s="1">
        <v>0.245</v>
      </c>
      <c r="J5" s="1">
        <v>0.45900000000000002</v>
      </c>
      <c r="K5" s="1">
        <v>0.26400000000000001</v>
      </c>
      <c r="L5" s="1">
        <v>0.36499999999999999</v>
      </c>
      <c r="M5" s="1" t="s">
        <v>28</v>
      </c>
      <c r="N5" s="21">
        <v>0</v>
      </c>
      <c r="O5" s="1" t="s">
        <v>53</v>
      </c>
    </row>
    <row r="6" spans="1:15" x14ac:dyDescent="0.3">
      <c r="A6" s="15" t="s">
        <v>9</v>
      </c>
      <c r="B6" s="1">
        <v>0.63500000000000001</v>
      </c>
      <c r="C6" s="1">
        <v>0.36499999999999999</v>
      </c>
      <c r="D6" s="1">
        <v>0.36499999999999999</v>
      </c>
      <c r="E6" s="1">
        <v>0.63500000000000001</v>
      </c>
      <c r="F6" s="1" t="s">
        <v>28</v>
      </c>
      <c r="G6" s="21">
        <v>0</v>
      </c>
      <c r="H6" s="1" t="s">
        <v>57</v>
      </c>
      <c r="I6" s="1">
        <v>0.36499999999999999</v>
      </c>
      <c r="J6" s="1">
        <v>0.36499999999999999</v>
      </c>
      <c r="K6" s="1">
        <v>0.63500000000000001</v>
      </c>
      <c r="L6" s="1">
        <v>0.255</v>
      </c>
      <c r="M6" s="1" t="s">
        <v>28</v>
      </c>
      <c r="N6" s="21">
        <v>0</v>
      </c>
      <c r="O6" s="1" t="s">
        <v>53</v>
      </c>
    </row>
    <row r="7" spans="1:15" ht="15" thickBot="1" x14ac:dyDescent="0.35">
      <c r="A7" s="16" t="s">
        <v>54</v>
      </c>
      <c r="B7" s="1">
        <v>0.35599999999999998</v>
      </c>
      <c r="C7" s="1">
        <v>0.36699999999999999</v>
      </c>
      <c r="D7" s="1">
        <v>0.36699999999999999</v>
      </c>
      <c r="E7" s="1">
        <v>0.35599999999999998</v>
      </c>
      <c r="F7" s="1" t="s">
        <v>28</v>
      </c>
      <c r="G7" s="21">
        <v>0</v>
      </c>
      <c r="H7" s="1" t="s">
        <v>57</v>
      </c>
      <c r="I7" s="1">
        <v>0.36699999999999999</v>
      </c>
      <c r="J7" s="1">
        <v>0.36699999999999999</v>
      </c>
      <c r="K7" s="1">
        <v>0.35599999999999998</v>
      </c>
      <c r="L7" s="1">
        <v>0.26400000000000001</v>
      </c>
      <c r="M7" s="1" t="s">
        <v>28</v>
      </c>
      <c r="N7" s="21">
        <v>0</v>
      </c>
      <c r="O7" s="1" t="s">
        <v>53</v>
      </c>
    </row>
    <row r="8" spans="1:15" x14ac:dyDescent="0.3">
      <c r="A8" s="14" t="s">
        <v>7</v>
      </c>
      <c r="B8" s="1" t="s">
        <v>59</v>
      </c>
      <c r="I8" s="1">
        <v>0.255</v>
      </c>
      <c r="J8" s="1">
        <v>0.254</v>
      </c>
      <c r="K8" s="1">
        <v>0.56799999999999995</v>
      </c>
      <c r="L8" s="1">
        <v>0.254</v>
      </c>
      <c r="M8" s="1" t="s">
        <v>28</v>
      </c>
      <c r="N8" s="21">
        <v>0</v>
      </c>
      <c r="O8" s="1" t="s">
        <v>57</v>
      </c>
    </row>
    <row r="9" spans="1:15" x14ac:dyDescent="0.3">
      <c r="A9" s="14" t="s">
        <v>8</v>
      </c>
      <c r="B9" s="1" t="s">
        <v>59</v>
      </c>
      <c r="I9" s="1">
        <v>0.26400000000000001</v>
      </c>
      <c r="J9" s="1">
        <v>0.245</v>
      </c>
      <c r="K9" s="1">
        <v>0.45900000000000002</v>
      </c>
      <c r="L9" s="1">
        <v>0.26400000000000001</v>
      </c>
      <c r="M9" s="1" t="s">
        <v>28</v>
      </c>
      <c r="N9" s="21">
        <v>0</v>
      </c>
      <c r="O9" s="1" t="s">
        <v>57</v>
      </c>
    </row>
    <row r="10" spans="1:15" x14ac:dyDescent="0.3">
      <c r="A10" s="15" t="s">
        <v>9</v>
      </c>
      <c r="B10" s="1" t="s">
        <v>59</v>
      </c>
      <c r="I10" s="1">
        <v>0.63500000000000001</v>
      </c>
      <c r="J10" s="1">
        <v>0.36499999999999999</v>
      </c>
      <c r="K10" s="1">
        <v>0.36499999999999999</v>
      </c>
      <c r="L10" s="1">
        <v>0.63500000000000001</v>
      </c>
      <c r="M10" s="1" t="s">
        <v>28</v>
      </c>
      <c r="N10" s="21">
        <v>0</v>
      </c>
      <c r="O10" s="1" t="s">
        <v>57</v>
      </c>
    </row>
    <row r="15" spans="1:15" x14ac:dyDescent="0.3">
      <c r="A15" t="s">
        <v>36</v>
      </c>
    </row>
    <row r="16" spans="1:15" x14ac:dyDescent="0.3">
      <c r="A16" t="s">
        <v>35</v>
      </c>
    </row>
  </sheetData>
  <mergeCells count="3">
    <mergeCell ref="A1:A2"/>
    <mergeCell ref="B1:H1"/>
    <mergeCell ref="I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B3" sqref="B3:D7"/>
    </sheetView>
  </sheetViews>
  <sheetFormatPr defaultRowHeight="14.4" x14ac:dyDescent="0.3"/>
  <cols>
    <col min="1" max="1" width="35.21875" bestFit="1" customWidth="1"/>
  </cols>
  <sheetData>
    <row r="1" spans="1:8" x14ac:dyDescent="0.3">
      <c r="A1" s="29" t="s">
        <v>37</v>
      </c>
      <c r="B1" s="30" t="s">
        <v>39</v>
      </c>
      <c r="C1" s="30"/>
      <c r="D1" s="30"/>
      <c r="E1" s="30" t="s">
        <v>38</v>
      </c>
      <c r="F1" s="30"/>
      <c r="G1" s="30"/>
      <c r="H1" s="11"/>
    </row>
    <row r="2" spans="1:8" x14ac:dyDescent="0.3">
      <c r="A2" s="29"/>
      <c r="B2" s="3" t="s">
        <v>3</v>
      </c>
      <c r="C2" s="3" t="s">
        <v>40</v>
      </c>
      <c r="D2" s="3" t="s">
        <v>5</v>
      </c>
      <c r="E2" s="3" t="s">
        <v>3</v>
      </c>
      <c r="F2" s="3" t="s">
        <v>40</v>
      </c>
      <c r="G2" s="3" t="s">
        <v>5</v>
      </c>
      <c r="H2" s="11"/>
    </row>
    <row r="3" spans="1:8" x14ac:dyDescent="0.3">
      <c r="A3" s="17" t="s">
        <v>6</v>
      </c>
      <c r="B3" s="1">
        <v>11</v>
      </c>
      <c r="C3" s="1">
        <v>0.1</v>
      </c>
      <c r="D3" s="1">
        <v>256</v>
      </c>
      <c r="E3" s="1">
        <v>0</v>
      </c>
      <c r="F3" s="1">
        <v>0</v>
      </c>
      <c r="G3" s="1">
        <v>0</v>
      </c>
      <c r="H3" s="11"/>
    </row>
    <row r="4" spans="1:8" x14ac:dyDescent="0.3">
      <c r="A4" s="17" t="s">
        <v>7</v>
      </c>
      <c r="B4" s="1">
        <v>33</v>
      </c>
      <c r="C4" s="1">
        <v>0.2</v>
      </c>
      <c r="D4" s="1">
        <v>36</v>
      </c>
      <c r="E4" s="1">
        <v>0</v>
      </c>
      <c r="F4" s="1">
        <v>0</v>
      </c>
      <c r="G4" s="1">
        <v>0</v>
      </c>
      <c r="H4" s="11"/>
    </row>
    <row r="5" spans="1:8" x14ac:dyDescent="0.3">
      <c r="A5" s="17" t="s">
        <v>8</v>
      </c>
      <c r="B5" s="1">
        <v>23</v>
      </c>
      <c r="C5" s="1">
        <v>0.1</v>
      </c>
      <c r="D5" s="1">
        <v>458</v>
      </c>
      <c r="E5" s="1">
        <v>0</v>
      </c>
      <c r="F5" s="1">
        <v>0</v>
      </c>
      <c r="G5" s="1">
        <v>0</v>
      </c>
      <c r="H5" s="11"/>
    </row>
    <row r="6" spans="1:8" x14ac:dyDescent="0.3">
      <c r="A6" s="18" t="s">
        <v>9</v>
      </c>
      <c r="B6" s="1">
        <v>0</v>
      </c>
      <c r="C6" s="1">
        <v>0.2</v>
      </c>
      <c r="D6" s="1">
        <v>21</v>
      </c>
      <c r="E6" s="1">
        <v>0</v>
      </c>
      <c r="F6" s="1">
        <v>0</v>
      </c>
      <c r="G6" s="1">
        <v>0</v>
      </c>
      <c r="H6" s="11"/>
    </row>
    <row r="7" spans="1:8" ht="15" thickBot="1" x14ac:dyDescent="0.35">
      <c r="A7" s="19" t="s">
        <v>23</v>
      </c>
      <c r="B7" s="1">
        <v>424</v>
      </c>
      <c r="C7" s="1">
        <v>0.6</v>
      </c>
      <c r="D7" s="1">
        <v>10</v>
      </c>
      <c r="E7" s="1">
        <v>0</v>
      </c>
      <c r="F7" s="1">
        <v>0</v>
      </c>
      <c r="G7" s="1">
        <v>0</v>
      </c>
      <c r="H7" s="11"/>
    </row>
    <row r="8" spans="1:8" x14ac:dyDescent="0.3">
      <c r="A8" s="11"/>
      <c r="B8" s="1"/>
      <c r="C8" s="1"/>
      <c r="D8" s="1"/>
      <c r="E8" s="1"/>
      <c r="F8" s="1"/>
      <c r="G8" s="1"/>
      <c r="H8" s="11"/>
    </row>
    <row r="9" spans="1:8" x14ac:dyDescent="0.3">
      <c r="A9" s="11"/>
      <c r="B9" s="1"/>
      <c r="C9" s="1"/>
      <c r="D9" s="1"/>
      <c r="E9" s="1"/>
      <c r="F9" s="1"/>
      <c r="G9" s="1"/>
      <c r="H9" s="11"/>
    </row>
    <row r="10" spans="1:8" x14ac:dyDescent="0.3">
      <c r="A10" s="11"/>
      <c r="B10" s="1"/>
      <c r="C10" s="1"/>
      <c r="D10" s="1"/>
      <c r="E10" s="1"/>
      <c r="F10" s="1"/>
      <c r="G10" s="1"/>
      <c r="H10" s="11"/>
    </row>
    <row r="11" spans="1:8" x14ac:dyDescent="0.3">
      <c r="A11" s="11"/>
      <c r="B11" s="1"/>
      <c r="C11" s="1"/>
      <c r="D11" s="1"/>
      <c r="E11" s="1"/>
      <c r="F11" s="1"/>
      <c r="G11" s="1"/>
      <c r="H11" s="11"/>
    </row>
    <row r="12" spans="1:8" x14ac:dyDescent="0.3">
      <c r="A12" s="11"/>
      <c r="B12" s="1"/>
      <c r="C12" s="1"/>
      <c r="D12" s="1"/>
      <c r="E12" s="1"/>
      <c r="F12" s="1"/>
      <c r="G12" s="1"/>
      <c r="H12" s="11"/>
    </row>
    <row r="13" spans="1:8" x14ac:dyDescent="0.3">
      <c r="A13" s="11"/>
      <c r="B13" s="1"/>
      <c r="C13" s="1"/>
      <c r="D13" s="1"/>
      <c r="E13" s="1"/>
      <c r="F13" s="1"/>
      <c r="G13" s="1"/>
      <c r="H13" s="11"/>
    </row>
    <row r="14" spans="1:8" x14ac:dyDescent="0.3">
      <c r="A14" s="11"/>
      <c r="B14" s="1"/>
      <c r="C14" s="1"/>
      <c r="D14" s="1"/>
      <c r="E14" s="1"/>
      <c r="F14" s="1"/>
      <c r="G14" s="1"/>
      <c r="H14" s="11"/>
    </row>
    <row r="15" spans="1:8" x14ac:dyDescent="0.3">
      <c r="A15" s="11"/>
      <c r="B15" s="1"/>
      <c r="C15" s="1"/>
      <c r="D15" s="1"/>
      <c r="E15" s="1"/>
      <c r="F15" s="1"/>
      <c r="G15" s="1"/>
      <c r="H15" s="11"/>
    </row>
    <row r="16" spans="1:8" x14ac:dyDescent="0.3">
      <c r="A16" s="11"/>
      <c r="B16" s="1"/>
      <c r="C16" s="1"/>
      <c r="D16" s="1"/>
      <c r="E16" s="1"/>
      <c r="F16" s="1"/>
      <c r="G16" s="1"/>
      <c r="H16" s="11"/>
    </row>
    <row r="17" spans="1:8" x14ac:dyDescent="0.3">
      <c r="A17" s="11"/>
      <c r="B17" s="1"/>
      <c r="C17" s="1"/>
      <c r="D17" s="1"/>
      <c r="E17" s="1"/>
      <c r="F17" s="1"/>
      <c r="G17" s="1"/>
      <c r="H17" s="11"/>
    </row>
    <row r="18" spans="1:8" x14ac:dyDescent="0.3">
      <c r="A18" s="11"/>
      <c r="B18" s="1"/>
      <c r="C18" s="1"/>
      <c r="D18" s="1"/>
      <c r="E18" s="1"/>
      <c r="F18" s="1"/>
      <c r="G18" s="1"/>
      <c r="H18" s="11"/>
    </row>
    <row r="19" spans="1:8" x14ac:dyDescent="0.3">
      <c r="A19" s="11"/>
      <c r="B19" s="11"/>
      <c r="C19" s="11"/>
      <c r="D19" s="11"/>
      <c r="E19" s="11"/>
      <c r="F19" s="11"/>
      <c r="G19" s="11"/>
      <c r="H19" s="11"/>
    </row>
    <row r="20" spans="1:8" x14ac:dyDescent="0.3">
      <c r="A20" s="11"/>
      <c r="B20" s="11"/>
      <c r="C20" s="11"/>
      <c r="D20" s="11"/>
      <c r="E20" s="11"/>
      <c r="F20" s="11"/>
      <c r="G20" s="11"/>
      <c r="H20" s="11"/>
    </row>
    <row r="21" spans="1:8" x14ac:dyDescent="0.3">
      <c r="A21" s="11"/>
      <c r="B21" s="11"/>
      <c r="C21" s="11"/>
      <c r="D21" s="11"/>
      <c r="E21" s="11"/>
      <c r="F21" s="11"/>
      <c r="G21" s="11"/>
      <c r="H21" s="11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4" bestFit="1" customWidth="1"/>
  </cols>
  <sheetData>
    <row r="1" spans="1:3" x14ac:dyDescent="0.3">
      <c r="A1" s="12" t="s">
        <v>41</v>
      </c>
      <c r="B1" s="12" t="s">
        <v>42</v>
      </c>
      <c r="C1" s="12" t="s">
        <v>43</v>
      </c>
    </row>
    <row r="2" spans="1:3" x14ac:dyDescent="0.3">
      <c r="A2" t="s">
        <v>51</v>
      </c>
    </row>
    <row r="3" spans="1:3" x14ac:dyDescent="0.3">
      <c r="A3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J3" sqref="J3:J12"/>
    </sheetView>
  </sheetViews>
  <sheetFormatPr defaultRowHeight="14.4" x14ac:dyDescent="0.3"/>
  <cols>
    <col min="1" max="1" width="35.21875" bestFit="1" customWidth="1"/>
    <col min="2" max="2" width="8.77734375" bestFit="1" customWidth="1"/>
    <col min="3" max="4" width="13.5546875" bestFit="1" customWidth="1"/>
    <col min="6" max="6" width="8.77734375" bestFit="1" customWidth="1"/>
    <col min="7" max="8" width="13.5546875" bestFit="1" customWidth="1"/>
    <col min="9" max="9" width="9.21875" customWidth="1"/>
  </cols>
  <sheetData>
    <row r="1" spans="1:10" x14ac:dyDescent="0.3">
      <c r="A1" s="31" t="s">
        <v>25</v>
      </c>
      <c r="B1" s="32" t="s">
        <v>44</v>
      </c>
      <c r="C1" s="32"/>
      <c r="D1" s="32"/>
      <c r="E1" s="32"/>
      <c r="F1" s="32" t="s">
        <v>45</v>
      </c>
      <c r="G1" s="32"/>
      <c r="H1" s="32"/>
      <c r="I1" s="32"/>
      <c r="J1" s="11"/>
    </row>
    <row r="2" spans="1:10" x14ac:dyDescent="0.3">
      <c r="A2" s="31"/>
      <c r="B2" s="22" t="s">
        <v>46</v>
      </c>
      <c r="C2" s="22" t="s">
        <v>47</v>
      </c>
      <c r="D2" s="22" t="s">
        <v>48</v>
      </c>
      <c r="E2" s="22" t="s">
        <v>49</v>
      </c>
      <c r="F2" s="22" t="s">
        <v>46</v>
      </c>
      <c r="G2" s="22" t="s">
        <v>47</v>
      </c>
      <c r="H2" s="22" t="s">
        <v>48</v>
      </c>
      <c r="I2" s="22" t="s">
        <v>49</v>
      </c>
      <c r="J2" s="11"/>
    </row>
    <row r="3" spans="1:10" x14ac:dyDescent="0.3">
      <c r="A3" s="6" t="s">
        <v>6</v>
      </c>
      <c r="B3" s="6">
        <v>1.0920000000000001</v>
      </c>
      <c r="C3" s="23">
        <v>1.4179999999999999</v>
      </c>
      <c r="D3" s="23">
        <v>0.60599999999999998</v>
      </c>
      <c r="E3" s="23">
        <v>-2.8000000000000001E-2</v>
      </c>
      <c r="F3" s="23">
        <v>0.63900000000000001</v>
      </c>
      <c r="G3" s="23">
        <v>1.115</v>
      </c>
      <c r="H3" s="23">
        <v>0.58499999999999996</v>
      </c>
      <c r="I3" s="23">
        <v>-1.9E-2</v>
      </c>
      <c r="J3" s="11"/>
    </row>
    <row r="4" spans="1:10" x14ac:dyDescent="0.3">
      <c r="A4" s="6" t="s">
        <v>7</v>
      </c>
      <c r="B4" s="6">
        <v>0.77500000000000002</v>
      </c>
      <c r="C4" s="23">
        <v>1.03</v>
      </c>
      <c r="D4" s="23">
        <v>0.44700000000000001</v>
      </c>
      <c r="E4" s="23">
        <v>-1.9199999999999998E-2</v>
      </c>
      <c r="F4" s="23">
        <v>0.51300000000000001</v>
      </c>
      <c r="G4" s="23">
        <v>0.88400000000000001</v>
      </c>
      <c r="H4" s="23">
        <v>0.43</v>
      </c>
      <c r="I4" s="23">
        <v>-2.9000000000000001E-2</v>
      </c>
      <c r="J4" s="11"/>
    </row>
    <row r="5" spans="1:10" x14ac:dyDescent="0.3">
      <c r="A5" s="6" t="s">
        <v>8</v>
      </c>
      <c r="B5" s="6">
        <v>0.61699999999999999</v>
      </c>
      <c r="C5" s="23">
        <v>0.83499999999999996</v>
      </c>
      <c r="D5" s="23">
        <v>0.36699999999999999</v>
      </c>
      <c r="E5" s="23">
        <v>-1.49E-2</v>
      </c>
      <c r="F5" s="23">
        <v>0.43</v>
      </c>
      <c r="G5" s="23">
        <v>0.74199999999999999</v>
      </c>
      <c r="H5" s="23">
        <v>0.35099999999999998</v>
      </c>
      <c r="I5" s="23">
        <v>-3.9E-2</v>
      </c>
      <c r="J5" s="11"/>
    </row>
    <row r="6" spans="1:10" x14ac:dyDescent="0.3">
      <c r="A6" s="6" t="s">
        <v>9</v>
      </c>
      <c r="B6" s="6">
        <v>1.0109999999999999</v>
      </c>
      <c r="C6" s="23">
        <v>1.3560000000000001</v>
      </c>
      <c r="D6" s="23">
        <v>0.625</v>
      </c>
      <c r="E6" s="23">
        <v>-2.8000000000000001E-2</v>
      </c>
      <c r="F6" s="23">
        <v>0.61599999999999999</v>
      </c>
      <c r="G6" s="23">
        <v>1.1040000000000001</v>
      </c>
      <c r="H6" s="23">
        <v>0.60399999999999998</v>
      </c>
      <c r="I6" s="23">
        <v>-1.0999999999999999E-2</v>
      </c>
      <c r="J6" s="11"/>
    </row>
    <row r="7" spans="1:10" x14ac:dyDescent="0.3">
      <c r="A7" s="6" t="s">
        <v>23</v>
      </c>
      <c r="B7" s="6">
        <v>0.746</v>
      </c>
      <c r="C7" s="23">
        <v>1.014</v>
      </c>
      <c r="D7" s="23">
        <v>0.46</v>
      </c>
      <c r="E7" s="23">
        <v>-1.9199999999999998E-2</v>
      </c>
      <c r="F7" s="23">
        <v>0.5</v>
      </c>
      <c r="G7" s="23">
        <v>0.875</v>
      </c>
      <c r="H7" s="23">
        <v>0.443</v>
      </c>
      <c r="I7" s="23">
        <v>-3.7999999999999999E-2</v>
      </c>
      <c r="J7" s="11"/>
    </row>
    <row r="8" spans="1:10" x14ac:dyDescent="0.3">
      <c r="A8" s="6" t="s">
        <v>7</v>
      </c>
      <c r="B8" s="6">
        <v>0.77500000000000002</v>
      </c>
      <c r="C8" s="23">
        <v>1.03</v>
      </c>
      <c r="D8" s="23">
        <v>0.44700000000000001</v>
      </c>
      <c r="E8" s="23">
        <v>-1.9199999999999998E-2</v>
      </c>
      <c r="F8" s="20"/>
      <c r="G8" s="20"/>
      <c r="H8" s="20"/>
      <c r="I8" s="20"/>
      <c r="J8" s="11"/>
    </row>
    <row r="9" spans="1:10" x14ac:dyDescent="0.3">
      <c r="A9" s="6" t="s">
        <v>8</v>
      </c>
      <c r="B9" s="6">
        <v>0.61699999999999999</v>
      </c>
      <c r="C9" s="23">
        <v>0.83499999999999996</v>
      </c>
      <c r="D9" s="23">
        <v>0.36699999999999999</v>
      </c>
      <c r="E9" s="23">
        <v>-1.9199999999999998E-2</v>
      </c>
      <c r="F9" s="20"/>
      <c r="G9" s="20"/>
      <c r="H9" s="20"/>
      <c r="I9" s="20"/>
      <c r="J9" s="11"/>
    </row>
    <row r="10" spans="1:10" x14ac:dyDescent="0.3">
      <c r="A10" s="6" t="s">
        <v>9</v>
      </c>
      <c r="B10" s="6">
        <v>1.0109999999999999</v>
      </c>
      <c r="C10" s="23">
        <v>1.3560000000000001</v>
      </c>
      <c r="D10" s="23">
        <v>0.625</v>
      </c>
      <c r="E10" s="23">
        <v>-1.9199999999999998E-2</v>
      </c>
      <c r="F10" s="20"/>
      <c r="G10" s="20"/>
      <c r="H10" s="20"/>
      <c r="I10" s="20"/>
      <c r="J10" s="11"/>
    </row>
    <row r="11" spans="1:10" x14ac:dyDescent="0.3">
      <c r="A11" s="20"/>
      <c r="B11" s="20"/>
      <c r="C11" s="20"/>
      <c r="D11" s="20"/>
      <c r="E11" s="20"/>
      <c r="F11" s="20"/>
      <c r="G11" s="20"/>
      <c r="H11" s="20"/>
      <c r="I11" s="20"/>
      <c r="J11" s="11"/>
    </row>
    <row r="12" spans="1:10" x14ac:dyDescent="0.3">
      <c r="A12" s="20"/>
      <c r="B12" s="20"/>
      <c r="C12" s="20"/>
      <c r="D12" s="20"/>
      <c r="E12" s="20"/>
      <c r="F12" s="20"/>
      <c r="G12" s="20"/>
      <c r="H12" s="20"/>
      <c r="I12" s="20"/>
      <c r="J12" s="11"/>
    </row>
    <row r="13" spans="1:10" x14ac:dyDescent="0.3">
      <c r="A13" s="20"/>
      <c r="B13" s="20"/>
      <c r="C13" s="20"/>
      <c r="D13" s="20"/>
      <c r="E13" s="20"/>
      <c r="F13" s="20"/>
      <c r="G13" s="20"/>
      <c r="H13" s="20"/>
      <c r="I13" s="20"/>
      <c r="J13" s="11"/>
    </row>
    <row r="14" spans="1:10" x14ac:dyDescent="0.3">
      <c r="A14" s="20"/>
      <c r="B14" s="20"/>
      <c r="C14" s="20"/>
      <c r="D14" s="20"/>
      <c r="E14" s="20"/>
      <c r="F14" s="20"/>
      <c r="G14" s="20"/>
      <c r="H14" s="20"/>
      <c r="I14" s="20"/>
      <c r="J14" s="11"/>
    </row>
    <row r="15" spans="1:10" x14ac:dyDescent="0.3">
      <c r="A15" s="20"/>
      <c r="B15" s="20"/>
      <c r="C15" s="20"/>
      <c r="D15" s="20"/>
      <c r="E15" s="20"/>
      <c r="F15" s="20"/>
      <c r="G15" s="20"/>
      <c r="H15" s="20"/>
      <c r="I15" s="20"/>
      <c r="J15" s="11"/>
    </row>
    <row r="16" spans="1:10" x14ac:dyDescent="0.3">
      <c r="A16" s="20"/>
      <c r="B16" s="20"/>
      <c r="C16" s="20"/>
      <c r="D16" s="20"/>
      <c r="E16" s="20"/>
      <c r="F16" s="20"/>
      <c r="G16" s="20"/>
      <c r="H16" s="20"/>
      <c r="I16" s="20"/>
      <c r="J16" s="11"/>
    </row>
    <row r="17" spans="1:10" x14ac:dyDescent="0.3">
      <c r="A17" s="20"/>
      <c r="B17" s="20"/>
      <c r="C17" s="20"/>
      <c r="D17" s="20"/>
      <c r="E17" s="20"/>
      <c r="F17" s="20"/>
      <c r="G17" s="20"/>
      <c r="H17" s="20"/>
      <c r="I17" s="20"/>
      <c r="J17" s="11"/>
    </row>
    <row r="18" spans="1:10" x14ac:dyDescent="0.3">
      <c r="A18" s="20"/>
      <c r="B18" s="20"/>
      <c r="C18" s="20"/>
      <c r="D18" s="20"/>
      <c r="E18" s="20"/>
      <c r="F18" s="20"/>
      <c r="G18" s="20"/>
      <c r="H18" s="20"/>
      <c r="I18" s="20"/>
      <c r="J18" s="11"/>
    </row>
    <row r="19" spans="1:10" x14ac:dyDescent="0.3">
      <c r="A19" s="20"/>
      <c r="B19" s="20"/>
      <c r="C19" s="20"/>
      <c r="D19" s="20"/>
      <c r="E19" s="20"/>
      <c r="F19" s="20"/>
      <c r="G19" s="20"/>
      <c r="H19" s="20"/>
      <c r="I19" s="20"/>
      <c r="J19" s="11"/>
    </row>
    <row r="20" spans="1:10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:C6"/>
    </sheetView>
  </sheetViews>
  <sheetFormatPr defaultRowHeight="14.4" x14ac:dyDescent="0.3"/>
  <cols>
    <col min="1" max="1" width="35.21875" bestFit="1" customWidth="1"/>
  </cols>
  <sheetData>
    <row r="1" spans="1:3" x14ac:dyDescent="0.3">
      <c r="A1" s="12" t="s">
        <v>10</v>
      </c>
      <c r="B1" s="12" t="s">
        <v>3</v>
      </c>
      <c r="C1" s="12" t="s">
        <v>5</v>
      </c>
    </row>
    <row r="2" spans="1:3" x14ac:dyDescent="0.3">
      <c r="A2" s="17" t="s">
        <v>6</v>
      </c>
      <c r="B2" s="6">
        <v>-0.77800000000000002</v>
      </c>
      <c r="C2" s="7">
        <v>20</v>
      </c>
    </row>
    <row r="3" spans="1:3" x14ac:dyDescent="0.3">
      <c r="A3" s="17" t="s">
        <v>7</v>
      </c>
      <c r="B3" s="6">
        <v>-0.876</v>
      </c>
      <c r="C3" s="7">
        <v>80</v>
      </c>
    </row>
    <row r="4" spans="1:3" x14ac:dyDescent="0.3">
      <c r="A4" s="17" t="s">
        <v>8</v>
      </c>
      <c r="B4" s="8">
        <v>-0.23</v>
      </c>
      <c r="C4" s="7">
        <v>120</v>
      </c>
    </row>
    <row r="5" spans="1:3" x14ac:dyDescent="0.3">
      <c r="A5" s="18" t="s">
        <v>9</v>
      </c>
      <c r="B5" s="6">
        <v>-0.27300000000000002</v>
      </c>
      <c r="C5" s="10">
        <v>80</v>
      </c>
    </row>
    <row r="6" spans="1:3" ht="15" thickBot="1" x14ac:dyDescent="0.35">
      <c r="A6" s="19" t="s">
        <v>23</v>
      </c>
      <c r="B6" s="6">
        <v>-1.23</v>
      </c>
      <c r="C6" s="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HOLD_MASTER_CLK_SUM</vt:lpstr>
      <vt:lpstr>HOLD_MASTER_CLK</vt:lpstr>
      <vt:lpstr>FMAX</vt:lpstr>
      <vt:lpstr>DRV</vt:lpstr>
      <vt:lpstr>NON_CLK_CELLS</vt:lpstr>
      <vt:lpstr>TCQ</vt:lpstr>
      <vt:lpstr>MIN_PULSE_WIDTH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2025-05-19T17:03:16Z</dcterms:modified>
</cp:coreProperties>
</file>